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esktop\Projects\po-OPG\input-files-excel\"/>
    </mc:Choice>
  </mc:AlternateContent>
  <xr:revisionPtr revIDLastSave="0" documentId="8_{73ADED6A-B99A-4EA3-8A5A-869E68FF5F83}" xr6:coauthVersionLast="47" xr6:coauthVersionMax="47" xr10:uidLastSave="{00000000-0000-0000-0000-000000000000}"/>
  <bookViews>
    <workbookView xWindow="-120" yWindow="-120" windowWidth="24240" windowHeight="13290" activeTab="1" xr2:uid="{16521275-822B-4574-8DF9-A35117179612}"/>
  </bookViews>
  <sheets>
    <sheet name="OPG_sales_headers" sheetId="1" r:id="rId1"/>
    <sheet name="iMatrix_sales_header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J2" i="1" l="1"/>
  <c r="AO2" i="1"/>
  <c r="AP2" i="1" s="1"/>
  <c r="E2" i="1"/>
</calcChain>
</file>

<file path=xl/sharedStrings.xml><?xml version="1.0" encoding="utf-8"?>
<sst xmlns="http://schemas.openxmlformats.org/spreadsheetml/2006/main" count="159" uniqueCount="130">
  <si>
    <t>Sales document</t>
  </si>
  <si>
    <t>Sales Document Item</t>
  </si>
  <si>
    <t>Doc+item</t>
  </si>
  <si>
    <t>Sales Document Type</t>
  </si>
  <si>
    <t>Document Type Desc</t>
  </si>
  <si>
    <t>Material</t>
  </si>
  <si>
    <t>Material entered</t>
  </si>
  <si>
    <t>Doc Date</t>
  </si>
  <si>
    <t>Batch</t>
  </si>
  <si>
    <t>Material Group</t>
  </si>
  <si>
    <t>Description</t>
  </si>
  <si>
    <t>Item category</t>
  </si>
  <si>
    <t>Item category desc</t>
  </si>
  <si>
    <t>Relevant for Billing</t>
  </si>
  <si>
    <t>Relevant for Billing - Description</t>
  </si>
  <si>
    <t>Conversion factor</t>
  </si>
  <si>
    <t>Base Unit of Measure</t>
  </si>
  <si>
    <t>Division</t>
  </si>
  <si>
    <t>Division Desc</t>
  </si>
  <si>
    <t>Document Currency</t>
  </si>
  <si>
    <t>Order Quantity</t>
  </si>
  <si>
    <t>Required deliv. qty</t>
  </si>
  <si>
    <t>Sales unit</t>
  </si>
  <si>
    <t>Gross weight</t>
  </si>
  <si>
    <t>Net weight</t>
  </si>
  <si>
    <t>Weight unit</t>
  </si>
  <si>
    <t>ZASH - Base Price</t>
  </si>
  <si>
    <t>YBPR- Basic Price</t>
  </si>
  <si>
    <t>zpro-base price</t>
  </si>
  <si>
    <t>ZPRS - base price</t>
  </si>
  <si>
    <t>YTRL - Transmission</t>
  </si>
  <si>
    <t>CESS</t>
  </si>
  <si>
    <t>ZASH Qty * Base Price</t>
  </si>
  <si>
    <t>YBPR - Qty * Base Price</t>
  </si>
  <si>
    <t xml:space="preserve">zpro - Qty * BasePrice </t>
  </si>
  <si>
    <t>ZREL</t>
  </si>
  <si>
    <t xml:space="preserve">ZOM2 - Without Base amt </t>
  </si>
  <si>
    <t>JWTH</t>
  </si>
  <si>
    <t>TAX amount</t>
  </si>
  <si>
    <t>Net value</t>
  </si>
  <si>
    <t>Manual</t>
  </si>
  <si>
    <t>Difference</t>
  </si>
  <si>
    <t>Manual Net Value</t>
  </si>
  <si>
    <t>Diff</t>
  </si>
  <si>
    <t>Reference document</t>
  </si>
  <si>
    <t>Reference item</t>
  </si>
  <si>
    <t>Plant</t>
  </si>
  <si>
    <t>Plant - Name1</t>
  </si>
  <si>
    <t>Plant - city</t>
  </si>
  <si>
    <t>Storage Location</t>
  </si>
  <si>
    <t>Shipping Point/Receiving Pt</t>
  </si>
  <si>
    <t>Created on</t>
  </si>
  <si>
    <t>Net price</t>
  </si>
  <si>
    <t>Unit of measure</t>
  </si>
  <si>
    <t>Cost</t>
  </si>
  <si>
    <t>Exchange rate stats.</t>
  </si>
  <si>
    <t>JOCG</t>
  </si>
  <si>
    <t>JOIG</t>
  </si>
  <si>
    <t>JOSG</t>
  </si>
  <si>
    <t>JTC1</t>
  </si>
  <si>
    <t>Manual Tax Amt</t>
  </si>
  <si>
    <t>Changed on</t>
  </si>
  <si>
    <t>Profit Center</t>
  </si>
  <si>
    <t>Destination region</t>
  </si>
  <si>
    <t>Destination country</t>
  </si>
  <si>
    <t>Origin region</t>
  </si>
  <si>
    <t>Origin country</t>
  </si>
  <si>
    <t>Fee pricing date</t>
  </si>
  <si>
    <t>Ship-to party</t>
  </si>
  <si>
    <t>JTCS</t>
  </si>
  <si>
    <t>ZPR0</t>
  </si>
  <si>
    <t>ZPRS</t>
  </si>
  <si>
    <t>ZASH</t>
  </si>
  <si>
    <t>JTCB</t>
  </si>
  <si>
    <t>VPRS</t>
  </si>
  <si>
    <t>YAFS</t>
  </si>
  <si>
    <t>YBPR</t>
  </si>
  <si>
    <t>YSCH</t>
  </si>
  <si>
    <t>YSGE</t>
  </si>
  <si>
    <t>YSGT</t>
  </si>
  <si>
    <t>YSSO</t>
  </si>
  <si>
    <t>YTCN</t>
  </si>
  <si>
    <t>YTCR</t>
  </si>
  <si>
    <t>YTRL</t>
  </si>
  <si>
    <t>YWLC</t>
  </si>
  <si>
    <t>ZAFS</t>
  </si>
  <si>
    <t>ZCES</t>
  </si>
  <si>
    <t>ZMIS</t>
  </si>
  <si>
    <t>ZOM1</t>
  </si>
  <si>
    <t>ZOMA</t>
  </si>
  <si>
    <t>ZOMB</t>
  </si>
  <si>
    <t>ZOMC</t>
  </si>
  <si>
    <t>ZOMF</t>
  </si>
  <si>
    <t>ZOMT</t>
  </si>
  <si>
    <t>3357</t>
  </si>
  <si>
    <t>10</t>
  </si>
  <si>
    <t>000004764710</t>
  </si>
  <si>
    <t>ZCOL</t>
  </si>
  <si>
    <t>COAL-I</t>
  </si>
  <si>
    <t>0000000241</t>
  </si>
  <si>
    <t>001</t>
  </si>
  <si>
    <t>Coal - Import</t>
  </si>
  <si>
    <t>ZTAN</t>
  </si>
  <si>
    <t>Standard Item</t>
  </si>
  <si>
    <t>A</t>
  </si>
  <si>
    <t>Delivery-related billing document</t>
  </si>
  <si>
    <t>MT</t>
  </si>
  <si>
    <t>40</t>
  </si>
  <si>
    <t>Coal</t>
  </si>
  <si>
    <t>INR</t>
  </si>
  <si>
    <t/>
  </si>
  <si>
    <t>0</t>
  </si>
  <si>
    <t>9001</t>
  </si>
  <si>
    <t>Loading Port</t>
  </si>
  <si>
    <t xml:space="preserve"> </t>
  </si>
  <si>
    <t>1001</t>
  </si>
  <si>
    <t>1.00000</t>
  </si>
  <si>
    <t>1000</t>
  </si>
  <si>
    <t>24</t>
  </si>
  <si>
    <t>IN</t>
  </si>
  <si>
    <t>400061</t>
  </si>
  <si>
    <t>YBPR - Basic Price</t>
  </si>
  <si>
    <t>zpro - base price</t>
  </si>
  <si>
    <t>zpro - Qty * BasePrice</t>
  </si>
  <si>
    <t>ZPRS - Base Price</t>
  </si>
  <si>
    <t>ZOM2 - Without Base amt</t>
  </si>
  <si>
    <t>3792</t>
  </si>
  <si>
    <t>01.04.2023</t>
  </si>
  <si>
    <t>90022480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</si>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</sst>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4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4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st/CONV/Notes%20&amp;%20Tcodes/sales_notes-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Sheet3"/>
    </sheetNames>
    <sheetDataSet>
      <sheetData sheetId="0" refreshError="1"/>
      <sheetData sheetId="1" refreshError="1">
        <row r="1">
          <cell r="B1" t="str">
            <v>Sales Document Type</v>
          </cell>
          <cell r="C1"/>
        </row>
        <row r="2">
          <cell r="B2" t="str">
            <v>ZASH</v>
          </cell>
          <cell r="C2" t="str">
            <v>Flyash Sales order</v>
          </cell>
        </row>
        <row r="3">
          <cell r="B3" t="str">
            <v>ZCOL</v>
          </cell>
          <cell r="C3" t="str">
            <v>Coal Sales order</v>
          </cell>
        </row>
        <row r="4">
          <cell r="B4" t="str">
            <v>ZCQ</v>
          </cell>
          <cell r="C4" t="str">
            <v>Power-Contract</v>
          </cell>
        </row>
        <row r="5">
          <cell r="B5" t="str">
            <v>ZCR</v>
          </cell>
          <cell r="C5" t="str">
            <v>Credit Memo Request</v>
          </cell>
        </row>
        <row r="6">
          <cell r="B6" t="str">
            <v>ZDR</v>
          </cell>
          <cell r="C6" t="str">
            <v>Debit Memo Request</v>
          </cell>
        </row>
        <row r="7">
          <cell r="B7" t="str">
            <v>ZIN</v>
          </cell>
          <cell r="C7" t="str">
            <v>Inquiry</v>
          </cell>
        </row>
        <row r="8">
          <cell r="B8" t="str">
            <v>ZMIS</v>
          </cell>
          <cell r="C8" t="str">
            <v>Misc. Sales Order</v>
          </cell>
        </row>
        <row r="9">
          <cell r="B9" t="str">
            <v>ZOM</v>
          </cell>
          <cell r="C9" t="str">
            <v>O &amp; M Operations</v>
          </cell>
        </row>
        <row r="10">
          <cell r="B10" t="str">
            <v>ZPCT</v>
          </cell>
          <cell r="C10" t="str">
            <v>Cust - ContracT</v>
          </cell>
        </row>
        <row r="11">
          <cell r="B11" t="str">
            <v>ZPSO</v>
          </cell>
          <cell r="C11" t="str">
            <v>SO - Cust Contract</v>
          </cell>
        </row>
        <row r="12">
          <cell r="B12" t="str">
            <v>ZPWR</v>
          </cell>
          <cell r="C12" t="str">
            <v>Power Sales order</v>
          </cell>
        </row>
        <row r="13">
          <cell r="B13" t="str">
            <v>ZQT</v>
          </cell>
          <cell r="C13" t="str">
            <v>Quotation</v>
          </cell>
        </row>
        <row r="14">
          <cell r="B14" t="str">
            <v>ZRE</v>
          </cell>
          <cell r="C14" t="str">
            <v>Returns</v>
          </cell>
        </row>
        <row r="15">
          <cell r="B15" t="str">
            <v>ZSCR</v>
          </cell>
          <cell r="C15" t="str">
            <v>Scrap Sales Order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30F7-B3A8-4E0D-9AF0-D913D432188D}">
  <dimension ref="A1:CS2"/>
  <sheetViews>
    <sheetView workbookViewId="0">
      <selection activeCell="E12" sqref="E12"/>
    </sheetView>
  </sheetViews>
  <sheetFormatPr defaultRowHeight="15" x14ac:dyDescent="0.25"/>
  <cols>
    <col min="1" max="1" width="15.140625" bestFit="1" customWidth="1"/>
    <col min="2" max="2" width="8.28515625" bestFit="1" customWidth="1"/>
    <col min="3" max="3" width="13.140625" bestFit="1" customWidth="1"/>
    <col min="4" max="4" width="8.85546875" bestFit="1" customWidth="1"/>
    <col min="5" max="5" width="15.42578125" bestFit="1" customWidth="1"/>
    <col min="6" max="7" width="8.28515625" bestFit="1" customWidth="1"/>
    <col min="8" max="8" width="10.42578125" bestFit="1" customWidth="1"/>
    <col min="9" max="9" width="11" bestFit="1" customWidth="1"/>
    <col min="10" max="10" width="14.28515625" bestFit="1" customWidth="1"/>
    <col min="11" max="11" width="12.42578125" bestFit="1" customWidth="1"/>
    <col min="12" max="12" width="12.7109375" bestFit="1" customWidth="1"/>
    <col min="13" max="13" width="17.5703125" bestFit="1" customWidth="1"/>
    <col min="14" max="14" width="8.42578125" bestFit="1" customWidth="1"/>
    <col min="15" max="15" width="30.7109375" bestFit="1" customWidth="1"/>
    <col min="16" max="16" width="8.85546875" bestFit="1" customWidth="1"/>
    <col min="17" max="17" width="8.5703125" bestFit="1" customWidth="1"/>
    <col min="18" max="18" width="8.140625" bestFit="1" customWidth="1"/>
    <col min="19" max="19" width="12.85546875" bestFit="1" customWidth="1"/>
    <col min="20" max="20" width="8.7109375" bestFit="1" customWidth="1"/>
    <col min="21" max="21" width="14" bestFit="1" customWidth="1"/>
    <col min="22" max="22" width="8.85546875" bestFit="1" customWidth="1"/>
    <col min="23" max="23" width="9.5703125" bestFit="1" customWidth="1"/>
    <col min="24" max="24" width="12.28515625" bestFit="1" customWidth="1"/>
    <col min="25" max="25" width="10.140625" bestFit="1" customWidth="1"/>
    <col min="26" max="26" width="10.85546875" bestFit="1" customWidth="1"/>
    <col min="27" max="27" width="16.85546875" bestFit="1" customWidth="1"/>
    <col min="28" max="28" width="17" bestFit="1" customWidth="1"/>
    <col min="29" max="29" width="13.85546875" bestFit="1" customWidth="1"/>
    <col min="30" max="30" width="16.28515625" bestFit="1" customWidth="1"/>
    <col min="31" max="31" width="18.5703125" bestFit="1" customWidth="1"/>
    <col min="32" max="32" width="6.140625" bestFit="1" customWidth="1"/>
    <col min="33" max="33" width="20.7109375" bestFit="1" customWidth="1"/>
    <col min="34" max="34" width="22.28515625" bestFit="1" customWidth="1"/>
    <col min="35" max="35" width="20.5703125" bestFit="1" customWidth="1"/>
    <col min="36" max="36" width="5.5703125" bestFit="1" customWidth="1"/>
    <col min="37" max="37" width="9" bestFit="1" customWidth="1"/>
    <col min="38" max="38" width="11" bestFit="1" customWidth="1"/>
    <col min="39" max="39" width="7.140625" bestFit="1" customWidth="1"/>
    <col min="40" max="41" width="14.42578125" bestFit="1" customWidth="1"/>
    <col min="43" max="43" width="15.85546875" bestFit="1" customWidth="1"/>
    <col min="44" max="44" width="4.5703125" bestFit="1" customWidth="1"/>
    <col min="45" max="46" width="8.5703125" bestFit="1" customWidth="1"/>
    <col min="47" max="47" width="5.5703125" bestFit="1" customWidth="1"/>
    <col min="48" max="48" width="13.5703125" bestFit="1" customWidth="1"/>
    <col min="49" max="49" width="10.140625" bestFit="1" customWidth="1"/>
    <col min="50" max="50" width="8.5703125" bestFit="1" customWidth="1"/>
    <col min="51" max="51" width="8.7109375" bestFit="1" customWidth="1"/>
    <col min="52" max="52" width="10.42578125" bestFit="1" customWidth="1"/>
    <col min="53" max="53" width="8.85546875" bestFit="1" customWidth="1"/>
    <col min="54" max="54" width="8.7109375" bestFit="1" customWidth="1"/>
    <col min="55" max="55" width="4.85546875" bestFit="1" customWidth="1"/>
    <col min="56" max="56" width="8.28515625" bestFit="1" customWidth="1"/>
    <col min="57" max="57" width="6" bestFit="1" customWidth="1"/>
    <col min="58" max="58" width="5.140625" bestFit="1" customWidth="1"/>
    <col min="59" max="59" width="6" bestFit="1" customWidth="1"/>
    <col min="60" max="60" width="5.140625" bestFit="1" customWidth="1"/>
    <col min="61" max="61" width="7.140625" bestFit="1" customWidth="1"/>
    <col min="62" max="62" width="8" bestFit="1" customWidth="1"/>
    <col min="63" max="63" width="11.42578125" bestFit="1" customWidth="1"/>
    <col min="64" max="64" width="11.7109375" bestFit="1" customWidth="1"/>
    <col min="65" max="66" width="8.85546875" bestFit="1" customWidth="1"/>
    <col min="67" max="67" width="6.5703125" bestFit="1" customWidth="1"/>
    <col min="68" max="68" width="7.5703125" bestFit="1" customWidth="1"/>
    <col min="69" max="69" width="15" bestFit="1" customWidth="1"/>
    <col min="70" max="70" width="12.140625" bestFit="1" customWidth="1"/>
    <col min="71" max="71" width="11" bestFit="1" customWidth="1"/>
    <col min="72" max="72" width="10" bestFit="1" customWidth="1"/>
    <col min="73" max="73" width="5.28515625" bestFit="1" customWidth="1"/>
    <col min="74" max="74" width="5.42578125" bestFit="1" customWidth="1"/>
    <col min="75" max="75" width="5" bestFit="1" customWidth="1"/>
    <col min="76" max="76" width="11" bestFit="1" customWidth="1"/>
    <col min="77" max="77" width="5.42578125" bestFit="1" customWidth="1"/>
    <col min="78" max="78" width="5.140625" bestFit="1" customWidth="1"/>
    <col min="79" max="80" width="5.42578125" bestFit="1" customWidth="1"/>
    <col min="81" max="82" width="5.28515625" bestFit="1" customWidth="1"/>
    <col min="83" max="83" width="5.42578125" bestFit="1" customWidth="1"/>
    <col min="84" max="84" width="5.5703125" bestFit="1" customWidth="1"/>
    <col min="85" max="85" width="5.28515625" bestFit="1" customWidth="1"/>
    <col min="86" max="86" width="5" bestFit="1" customWidth="1"/>
    <col min="87" max="87" width="5.7109375" bestFit="1" customWidth="1"/>
    <col min="88" max="90" width="5.140625" bestFit="1" customWidth="1"/>
    <col min="91" max="91" width="6" bestFit="1" customWidth="1"/>
    <col min="92" max="94" width="6.140625" bestFit="1" customWidth="1"/>
    <col min="95" max="96" width="6" bestFit="1" customWidth="1"/>
    <col min="97" max="97" width="5" bestFit="1" customWidth="1"/>
  </cols>
  <sheetData>
    <row r="1" spans="1:97" s="14" customFormat="1" ht="7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2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6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4" t="s">
        <v>36</v>
      </c>
      <c r="AL1" s="4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10" t="s">
        <v>42</v>
      </c>
      <c r="AR1" s="10" t="s">
        <v>43</v>
      </c>
      <c r="AS1" s="11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  <c r="AZ1" s="1" t="s">
        <v>51</v>
      </c>
      <c r="BA1" s="6" t="s">
        <v>52</v>
      </c>
      <c r="BB1" s="2" t="s">
        <v>53</v>
      </c>
      <c r="BC1" s="1" t="s">
        <v>54</v>
      </c>
      <c r="BD1" s="2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38</v>
      </c>
      <c r="BJ1" s="9" t="s">
        <v>60</v>
      </c>
      <c r="BK1" s="1" t="s">
        <v>61</v>
      </c>
      <c r="BL1" s="1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1" t="s">
        <v>67</v>
      </c>
      <c r="BR1" s="12" t="s">
        <v>68</v>
      </c>
      <c r="BS1" s="13" t="s">
        <v>69</v>
      </c>
      <c r="BT1" s="13" t="s">
        <v>70</v>
      </c>
      <c r="BU1" s="13" t="s">
        <v>71</v>
      </c>
      <c r="BV1" s="13" t="s">
        <v>72</v>
      </c>
      <c r="BW1" s="13" t="s">
        <v>73</v>
      </c>
      <c r="BX1" s="13" t="s">
        <v>37</v>
      </c>
      <c r="BY1" s="13" t="s">
        <v>74</v>
      </c>
      <c r="BZ1" s="13" t="s">
        <v>75</v>
      </c>
      <c r="CA1" s="13" t="s">
        <v>76</v>
      </c>
      <c r="CB1" s="13" t="s">
        <v>77</v>
      </c>
      <c r="CC1" s="13" t="s">
        <v>78</v>
      </c>
      <c r="CD1" s="13" t="s">
        <v>79</v>
      </c>
      <c r="CE1" s="13" t="s">
        <v>80</v>
      </c>
      <c r="CF1" s="13" t="s">
        <v>81</v>
      </c>
      <c r="CG1" s="13" t="s">
        <v>82</v>
      </c>
      <c r="CH1" s="13" t="s">
        <v>83</v>
      </c>
      <c r="CI1" s="13" t="s">
        <v>84</v>
      </c>
      <c r="CJ1" s="13" t="s">
        <v>85</v>
      </c>
      <c r="CK1" s="13" t="s">
        <v>86</v>
      </c>
      <c r="CL1" s="13" t="s">
        <v>87</v>
      </c>
      <c r="CM1" s="13" t="s">
        <v>88</v>
      </c>
      <c r="CN1" s="13" t="s">
        <v>89</v>
      </c>
      <c r="CO1" s="13" t="s">
        <v>90</v>
      </c>
      <c r="CP1" s="13" t="s">
        <v>91</v>
      </c>
      <c r="CQ1" s="13" t="s">
        <v>92</v>
      </c>
      <c r="CR1" s="13" t="s">
        <v>93</v>
      </c>
      <c r="CS1" s="13" t="s">
        <v>35</v>
      </c>
    </row>
    <row r="2" spans="1:97" s="14" customFormat="1" x14ac:dyDescent="0.25">
      <c r="A2" s="14" t="s">
        <v>94</v>
      </c>
      <c r="B2" s="14" t="s">
        <v>95</v>
      </c>
      <c r="C2" s="14" t="s">
        <v>96</v>
      </c>
      <c r="D2" s="14" t="s">
        <v>97</v>
      </c>
      <c r="E2" s="14" t="str">
        <f>VLOOKUP(D:D,[1]Sheet3!$B:$C,2,0)</f>
        <v>Coal Sales order</v>
      </c>
      <c r="F2" s="14" t="s">
        <v>98</v>
      </c>
      <c r="G2" s="14" t="s">
        <v>98</v>
      </c>
      <c r="H2" s="15">
        <v>43556</v>
      </c>
      <c r="I2" s="14" t="s">
        <v>99</v>
      </c>
      <c r="J2" s="14" t="s">
        <v>100</v>
      </c>
      <c r="K2" s="14" t="s">
        <v>101</v>
      </c>
      <c r="L2" s="14" t="s">
        <v>102</v>
      </c>
      <c r="M2" s="14" t="s">
        <v>103</v>
      </c>
      <c r="N2" s="14" t="s">
        <v>104</v>
      </c>
      <c r="O2" s="14" t="s">
        <v>105</v>
      </c>
      <c r="P2" s="16">
        <v>1</v>
      </c>
      <c r="Q2" s="14" t="s">
        <v>106</v>
      </c>
      <c r="R2" s="14" t="s">
        <v>107</v>
      </c>
      <c r="S2" s="14" t="s">
        <v>108</v>
      </c>
      <c r="T2" s="14" t="s">
        <v>109</v>
      </c>
      <c r="U2" s="16">
        <v>36547</v>
      </c>
      <c r="V2" s="16">
        <v>36547</v>
      </c>
      <c r="W2" s="14" t="s">
        <v>106</v>
      </c>
      <c r="X2" s="16">
        <v>36547</v>
      </c>
      <c r="Y2" s="16">
        <v>36547</v>
      </c>
      <c r="Z2" s="14" t="s">
        <v>106</v>
      </c>
      <c r="AA2" s="14">
        <v>0</v>
      </c>
      <c r="AB2" s="17">
        <v>0</v>
      </c>
      <c r="AC2" s="17">
        <v>2921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106753787</v>
      </c>
      <c r="AJ2" s="14">
        <v>0</v>
      </c>
      <c r="AK2" s="14">
        <v>0</v>
      </c>
      <c r="AL2" s="18">
        <v>1067537.8700000001</v>
      </c>
      <c r="AM2" s="14">
        <v>0</v>
      </c>
      <c r="AN2" s="17">
        <v>107821324.87</v>
      </c>
      <c r="AO2" s="17">
        <f>AE2+AF2+AG2+AH2+AI2+AJ2+AK2+AL2</f>
        <v>107821324.87</v>
      </c>
      <c r="AP2" s="17">
        <f>AN2-AO2</f>
        <v>0</v>
      </c>
      <c r="AQ2" s="14">
        <v>107821324.87</v>
      </c>
      <c r="AR2" s="19">
        <v>0</v>
      </c>
      <c r="AS2" s="14" t="s">
        <v>110</v>
      </c>
      <c r="AT2" s="14" t="s">
        <v>111</v>
      </c>
      <c r="AU2" s="14" t="s">
        <v>112</v>
      </c>
      <c r="AV2" s="14" t="s">
        <v>113</v>
      </c>
      <c r="AW2" s="14" t="s">
        <v>114</v>
      </c>
      <c r="AX2" s="14" t="s">
        <v>112</v>
      </c>
      <c r="AY2" s="14" t="s">
        <v>115</v>
      </c>
      <c r="AZ2" s="20">
        <v>43556</v>
      </c>
      <c r="BA2" s="17">
        <v>2950.21</v>
      </c>
      <c r="BB2" s="14" t="s">
        <v>106</v>
      </c>
      <c r="BC2" s="17">
        <v>0</v>
      </c>
      <c r="BD2" s="14" t="s">
        <v>116</v>
      </c>
      <c r="BE2" s="14">
        <v>0</v>
      </c>
      <c r="BF2" s="14">
        <v>0</v>
      </c>
      <c r="BG2" s="14">
        <v>0</v>
      </c>
      <c r="BH2" s="18">
        <v>0</v>
      </c>
      <c r="BI2" s="14">
        <v>0</v>
      </c>
      <c r="BJ2" s="14">
        <f>BE2+BF2+BG2+BH2</f>
        <v>0</v>
      </c>
      <c r="BK2" s="20">
        <v>43556</v>
      </c>
      <c r="BL2" s="14" t="s">
        <v>117</v>
      </c>
      <c r="BM2" s="14" t="s">
        <v>118</v>
      </c>
      <c r="BN2" s="14" t="s">
        <v>119</v>
      </c>
      <c r="BO2" s="14" t="s">
        <v>110</v>
      </c>
      <c r="BP2" s="14" t="s">
        <v>119</v>
      </c>
      <c r="BQ2" s="20">
        <v>43528</v>
      </c>
      <c r="BR2" s="14" t="s">
        <v>120</v>
      </c>
      <c r="BS2" s="14">
        <v>1067537.8700000001</v>
      </c>
      <c r="BT2" s="14">
        <v>106753787</v>
      </c>
      <c r="BU2" s="14">
        <v>0</v>
      </c>
      <c r="BV2" s="14">
        <v>0</v>
      </c>
      <c r="BW2" s="18">
        <v>0</v>
      </c>
      <c r="BX2" s="14">
        <v>1067537.8700000001</v>
      </c>
      <c r="BY2" s="14">
        <v>0</v>
      </c>
      <c r="BZ2" s="14">
        <v>0</v>
      </c>
      <c r="CA2" s="14">
        <v>0</v>
      </c>
      <c r="CB2" s="14">
        <v>0</v>
      </c>
      <c r="CC2" s="14">
        <v>0</v>
      </c>
      <c r="CD2" s="14">
        <v>0</v>
      </c>
      <c r="CE2" s="14">
        <v>0</v>
      </c>
      <c r="CF2" s="14">
        <v>0</v>
      </c>
      <c r="CG2" s="14">
        <v>0</v>
      </c>
      <c r="CH2" s="14">
        <v>0</v>
      </c>
      <c r="CI2" s="14">
        <v>0</v>
      </c>
      <c r="CJ2" s="14">
        <v>0</v>
      </c>
      <c r="CK2" s="14">
        <v>0</v>
      </c>
      <c r="CL2" s="14">
        <v>0</v>
      </c>
      <c r="CM2" s="14">
        <v>0</v>
      </c>
      <c r="CN2" s="14">
        <v>0</v>
      </c>
      <c r="CO2" s="14">
        <v>0</v>
      </c>
      <c r="CP2" s="14">
        <v>0</v>
      </c>
      <c r="CQ2" s="14">
        <v>0</v>
      </c>
      <c r="CR2" s="14">
        <v>0</v>
      </c>
      <c r="CS2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C0F7-A629-48FE-BDF6-1CC824F95995}">
  <dimension ref="A1:U2"/>
  <sheetViews>
    <sheetView tabSelected="1" workbookViewId="0">
      <selection activeCell="E5" sqref="E5"/>
    </sheetView>
  </sheetViews>
  <sheetFormatPr defaultRowHeight="15" x14ac:dyDescent="0.25"/>
  <cols>
    <col min="1" max="1" width="15.140625" bestFit="1" customWidth="1"/>
    <col min="2" max="2" width="19.85546875" bestFit="1" customWidth="1"/>
    <col min="3" max="3" width="10.140625" bestFit="1" customWidth="1"/>
    <col min="4" max="4" width="12.140625" bestFit="1" customWidth="1"/>
    <col min="5" max="5" width="17.42578125" bestFit="1" customWidth="1"/>
    <col min="6" max="6" width="8.28515625" bestFit="1" customWidth="1"/>
    <col min="7" max="7" width="14" bestFit="1" customWidth="1"/>
    <col min="8" max="8" width="19.7109375" bestFit="1" customWidth="1"/>
    <col min="9" max="9" width="16.28515625" bestFit="1" customWidth="1"/>
    <col min="10" max="10" width="20" bestFit="1" customWidth="1"/>
    <col min="11" max="11" width="16.85546875" bestFit="1" customWidth="1"/>
    <col min="12" max="12" width="21.140625" bestFit="1" customWidth="1"/>
    <col min="13" max="13" width="15.7109375" bestFit="1" customWidth="1"/>
    <col min="14" max="14" width="20.140625" bestFit="1" customWidth="1"/>
    <col min="15" max="15" width="16.140625" bestFit="1" customWidth="1"/>
    <col min="16" max="16" width="19" bestFit="1" customWidth="1"/>
    <col min="17" max="17" width="5.140625" bestFit="1" customWidth="1"/>
    <col min="18" max="18" width="5" bestFit="1" customWidth="1"/>
    <col min="19" max="19" width="23.42578125" bestFit="1" customWidth="1"/>
    <col min="20" max="20" width="5.7109375" bestFit="1" customWidth="1"/>
    <col min="21" max="21" width="11.5703125" bestFit="1" customWidth="1"/>
  </cols>
  <sheetData>
    <row r="1" spans="1:21" s="21" customFormat="1" ht="15.75" x14ac:dyDescent="0.25">
      <c r="A1" s="21" t="s">
        <v>0</v>
      </c>
      <c r="B1" s="21" t="s">
        <v>3</v>
      </c>
      <c r="C1" s="21" t="s">
        <v>7</v>
      </c>
      <c r="D1" s="21" t="s">
        <v>68</v>
      </c>
      <c r="E1" s="21" t="s">
        <v>63</v>
      </c>
      <c r="F1" s="21" t="s">
        <v>5</v>
      </c>
      <c r="G1" s="21" t="s">
        <v>20</v>
      </c>
      <c r="H1" s="21" t="s">
        <v>16</v>
      </c>
      <c r="I1" s="21" t="s">
        <v>26</v>
      </c>
      <c r="J1" s="21" t="s">
        <v>32</v>
      </c>
      <c r="K1" s="21" t="s">
        <v>121</v>
      </c>
      <c r="L1" s="21" t="s">
        <v>33</v>
      </c>
      <c r="M1" s="21" t="s">
        <v>122</v>
      </c>
      <c r="N1" s="21" t="s">
        <v>123</v>
      </c>
      <c r="O1" s="21" t="s">
        <v>124</v>
      </c>
      <c r="P1" s="21" t="s">
        <v>30</v>
      </c>
      <c r="Q1" s="21" t="s">
        <v>31</v>
      </c>
      <c r="R1" s="21" t="s">
        <v>35</v>
      </c>
      <c r="S1" s="21" t="s">
        <v>125</v>
      </c>
      <c r="T1" s="21" t="s">
        <v>37</v>
      </c>
      <c r="U1" s="21" t="s">
        <v>38</v>
      </c>
    </row>
    <row r="2" spans="1:21" ht="15.75" x14ac:dyDescent="0.25">
      <c r="A2" t="s">
        <v>126</v>
      </c>
      <c r="B2" t="s">
        <v>72</v>
      </c>
      <c r="C2" t="s">
        <v>127</v>
      </c>
      <c r="D2" t="s">
        <v>128</v>
      </c>
      <c r="E2" t="s">
        <v>129</v>
      </c>
      <c r="F2" t="s">
        <v>98</v>
      </c>
      <c r="G2">
        <v>31.84</v>
      </c>
      <c r="H2" t="s">
        <v>106</v>
      </c>
      <c r="I2">
        <v>14780</v>
      </c>
      <c r="J2">
        <v>470595.2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400</v>
      </c>
      <c r="R2">
        <v>0</v>
      </c>
      <c r="S2">
        <v>0</v>
      </c>
      <c r="T2">
        <v>0</v>
      </c>
      <c r="U2">
        <v>22892.959999999999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OPG_sales_headers</vt:lpstr>
      <vt:lpstr>iMatrix_sales_header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2026-09-04T10:29:51Z</dcterms:created>
  <dcterms:modified xsi:type="dcterms:W3CDTF">2026-09-04T10:32:38Z</dcterms:modified>
</cp:coreProperties>
</file>